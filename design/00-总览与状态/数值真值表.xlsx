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修行与突破" sheetId="1" state="visible" r:id="rId1"/>
    <sheet name="2-破槛路线" sheetId="2" state="visible" r:id="rId2"/>
    <sheet name="3-镇守时间体力" sheetId="3" state="visible" r:id="rId3"/>
    <sheet name="4-子嗣家族经济" sheetId="4" state="visible" r:id="rId4"/>
    <sheet name="5-三大系统产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8">
    <font>
      <name val="Calibri"/>
      <family val="2"/>
      <color theme="1"/>
      <sz val="11"/>
      <scheme val="minor"/>
    </font>
    <font>
      <name val="等线"/>
      <b val="1"/>
      <color rgb="001F3864"/>
      <sz val="15"/>
    </font>
    <font>
      <name val="等线"/>
      <color rgb="00666666"/>
      <sz val="10"/>
    </font>
    <font>
      <name val="等线"/>
      <b val="1"/>
      <color rgb="00FFFFFF"/>
      <sz val="11"/>
    </font>
    <font>
      <name val="等线"/>
      <b val="1"/>
      <sz val="10"/>
    </font>
    <font>
      <name val="等线"/>
      <sz val="10"/>
    </font>
    <font>
      <name val="等线"/>
      <color rgb="007F7F7F"/>
      <sz val="9"/>
    </font>
    <font>
      <name val="等线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164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2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0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8" customWidth="1" min="4" max="4"/>
    <col width="11" customWidth="1" min="5" max="5"/>
    <col width="7" customWidth="1" min="6" max="6"/>
    <col width="6" customWidth="1" min="7" max="7"/>
    <col width="6" customWidth="1" min="8" max="8"/>
    <col width="8" customWidth="1" min="9" max="9"/>
    <col width="9" customWidth="1" min="10" max="10"/>
    <col width="9" customWidth="1" min="11" max="11"/>
    <col width="9" customWidth="1" min="12" max="12"/>
    <col width="11" customWidth="1" min="13" max="13"/>
    <col width="10" customWidth="1" min="14" max="14"/>
    <col width="9" customWidth="1" min="15" max="15"/>
    <col width="7" customWidth="1" min="16" max="16"/>
    <col width="9" customWidth="1" min="17" max="17"/>
  </cols>
  <sheetData>
    <row r="1">
      <c r="A1" s="1" t="inlineStr">
        <is>
          <t>Sheet 1 · 修行与突破公式（配平层）</t>
        </is>
      </c>
    </row>
    <row r="2">
      <c r="A2" s="2" t="inlineStr">
        <is>
          <t>黄底是可改输入，改完下面的 22 级表立刻重算。参考表（时间换算 / 四阶段 / 静态境界表）见 数值真值表.md §0~§1。</t>
        </is>
      </c>
    </row>
    <row r="4" ht="20" customHeight="1">
      <c r="A4" s="3" t="inlineStr">
        <is>
          <t>1.1 输入（黄底可改）</t>
        </is>
      </c>
    </row>
    <row r="5">
      <c r="A5" s="4" t="inlineStr">
        <is>
          <t>参考 Land（表内 F 列逐行）</t>
        </is>
      </c>
      <c r="B5" s="5" t="n">
        <v>30</v>
      </c>
      <c r="C5" s="6" t="inlineStr">
        <is>
          <t>16 档：20~160；基准路线练气 30</t>
        </is>
      </c>
    </row>
    <row r="6">
      <c r="A6" s="4" t="inlineStr">
        <is>
          <t>参考 Fit（表内按级取值）</t>
        </is>
      </c>
      <c r="B6" s="7" t="n">
        <v>0.16</v>
      </c>
      <c r="C6" s="6" t="inlineStr">
        <is>
          <t>连乘：功法×同参×灵地；每行的 F/G 列可直接改</t>
        </is>
      </c>
    </row>
    <row r="7">
      <c r="A7" s="4" t="inlineStr">
        <is>
          <t>本命数量系数</t>
        </is>
      </c>
      <c r="B7" s="7" t="n">
        <v>0.8</v>
      </c>
      <c r="C7" s="6" t="inlineStr">
        <is>
          <t>单 1.0 / 双单根 0.9 / 双双根 0.8 / 三 0.7 / 四+ 0.6</t>
        </is>
      </c>
    </row>
    <row r="8">
      <c r="A8" s="4" t="inlineStr">
        <is>
          <t>spiritRate 基数</t>
        </is>
      </c>
      <c r="B8" s="7" t="n">
        <v>1.1</v>
      </c>
      <c r="C8" s="6" t="inlineStr">
        <is>
          <t>每次内功突破 ×1.1</t>
        </is>
      </c>
    </row>
    <row r="9">
      <c r="A9" s="4" t="inlineStr">
        <is>
          <t>子嗣加成 Child</t>
        </is>
      </c>
      <c r="B9" s="8" t="n">
        <v>0</v>
      </c>
      <c r="C9" s="6" t="inlineStr">
        <is>
          <t>无上限；本表演示用 0</t>
        </is>
      </c>
    </row>
    <row r="10">
      <c r="A10" s="4" t="inlineStr">
        <is>
          <t>其他加成 Other</t>
        </is>
      </c>
      <c r="B10" s="8" t="n">
        <v>0</v>
      </c>
      <c r="C10" s="6" t="inlineStr">
        <is>
          <t>散功重修、丹药等；不含熟练度/英烈祠</t>
        </is>
      </c>
    </row>
    <row r="11">
      <c r="A11" s="4" t="inlineStr">
        <is>
          <t>打坐转化基数</t>
        </is>
      </c>
      <c r="B11" s="9" t="n">
        <v>0.1</v>
      </c>
      <c r="C11" s="6" t="inlineStr">
        <is>
          <t>k = 0.1 × 0.8^(L-1) × 暴击 × 英烈祠</t>
        </is>
      </c>
    </row>
    <row r="12">
      <c r="A12" s="4" t="inlineStr">
        <is>
          <t>每级转化衰减</t>
        </is>
      </c>
      <c r="B12" s="9" t="n">
        <v>0.8</v>
      </c>
      <c r="C12" s="6" t="inlineStr">
        <is>
          <t>1.2/1.5 = 0.8</t>
        </is>
      </c>
    </row>
    <row r="13">
      <c r="A13" s="4" t="inlineStr">
        <is>
          <t>暴击期望</t>
        </is>
      </c>
      <c r="B13" s="7" t="n">
        <v>1.3</v>
      </c>
      <c r="C13" s="6" t="inlineStr">
        <is>
          <t>30%×luck 翻倍 → 1+0.3</t>
        </is>
      </c>
    </row>
    <row r="14">
      <c r="A14" s="4" t="inlineStr">
        <is>
          <t>英烈祠倍率</t>
        </is>
      </c>
      <c r="B14" s="7" t="n">
        <v>1</v>
      </c>
      <c r="C14" s="6" t="inlineStr">
        <is>
          <t>1 + min(1%×牌位, 10%)</t>
        </is>
      </c>
    </row>
    <row r="16" ht="20" customHeight="1">
      <c r="A16" s="3" t="inlineStr">
        <is>
          <t>1.2 22 级验算表（黄色列是输入，其余是公式）</t>
        </is>
      </c>
    </row>
    <row r="17">
      <c r="A17" s="10" t="inlineStr">
        <is>
          <t>级</t>
        </is>
      </c>
      <c r="B17" s="10" t="inlineStr">
        <is>
          <t>境界</t>
        </is>
      </c>
      <c r="C17" s="10" t="inlineStr">
        <is>
          <t>Base_Exp</t>
        </is>
      </c>
      <c r="D17" s="10" t="inlineStr">
        <is>
          <t>K</t>
        </is>
      </c>
      <c r="E17" s="10" t="inlineStr">
        <is>
          <t>有效上限</t>
        </is>
      </c>
      <c r="F17" s="10" t="inlineStr">
        <is>
          <t>灵地</t>
        </is>
      </c>
      <c r="G17" s="10" t="inlineStr">
        <is>
          <t>Fit</t>
        </is>
      </c>
      <c r="H17" s="10" t="inlineStr">
        <is>
          <t>本命</t>
        </is>
      </c>
      <c r="I17" s="10" t="inlineStr">
        <is>
          <t>spiritRate</t>
        </is>
      </c>
      <c r="J17" s="10" t="inlineStr">
        <is>
          <t>灵力/秒</t>
        </is>
      </c>
      <c r="K17" s="10" t="inlineStr">
        <is>
          <t>打坐 k</t>
        </is>
      </c>
      <c r="L17" s="10" t="inlineStr">
        <is>
          <t>修为/秒</t>
        </is>
      </c>
      <c r="M17" s="10" t="inlineStr">
        <is>
          <t>校准后耗时</t>
        </is>
      </c>
      <c r="N17" s="10" t="inlineStr">
        <is>
          <t>裸耗时</t>
        </is>
      </c>
      <c r="O17" s="10" t="inlineStr">
        <is>
          <t>目标</t>
        </is>
      </c>
      <c r="P17" s="10" t="inlineStr">
        <is>
          <t>偏差</t>
        </is>
      </c>
      <c r="Q17" s="10" t="inlineStr">
        <is>
          <t>累计(h)</t>
        </is>
      </c>
    </row>
    <row r="18">
      <c r="A18" s="11" t="n">
        <v>1</v>
      </c>
      <c r="B18" s="11" t="inlineStr">
        <is>
          <t>练气一层</t>
        </is>
      </c>
      <c r="C18" s="12" t="n">
        <v>100</v>
      </c>
      <c r="D18" s="9" t="n">
        <v>1.16064</v>
      </c>
      <c r="E18" s="13">
        <f>C18*D18*(1+$B$9)</f>
        <v/>
      </c>
      <c r="F18" s="9" t="n">
        <v>30</v>
      </c>
      <c r="G18" s="7" t="n">
        <v>0.08</v>
      </c>
      <c r="H18" s="14">
        <f>$B$7</f>
        <v/>
      </c>
      <c r="I18" s="14">
        <f>$B$8^(A18-1)</f>
        <v/>
      </c>
      <c r="J18" s="13">
        <f>F18*(0.5+1.5*G18)*H18*I18*(1+$B$9)*(1+$B$10)</f>
        <v/>
      </c>
      <c r="K18" s="15">
        <f>$B$11*$B$12^(A18-1)*$B$13*$B$14</f>
        <v/>
      </c>
      <c r="L18" s="13">
        <f>J18*K18</f>
        <v/>
      </c>
      <c r="M18" s="13">
        <f>E18/L18</f>
        <v/>
      </c>
      <c r="N18" s="13">
        <f>M18/D18</f>
        <v/>
      </c>
      <c r="O18" s="16" t="n">
        <v>60</v>
      </c>
      <c r="P18" s="14">
        <f>IF(O18="","",M18/O18)</f>
        <v/>
      </c>
      <c r="Q18" s="14" t="n">
        <v>0</v>
      </c>
    </row>
    <row r="19">
      <c r="A19" s="11" t="n">
        <v>2</v>
      </c>
      <c r="B19" s="11" t="inlineStr">
        <is>
          <t>练气二层</t>
        </is>
      </c>
      <c r="C19" s="12" t="n">
        <v>150</v>
      </c>
      <c r="D19" s="9" t="n">
        <v>2.042726</v>
      </c>
      <c r="E19" s="13">
        <f>C19*D19*(1+$B$9)</f>
        <v/>
      </c>
      <c r="F19" s="9" t="n">
        <v>30</v>
      </c>
      <c r="G19" s="7" t="n">
        <v>0.08</v>
      </c>
      <c r="H19" s="14">
        <f>$B$7</f>
        <v/>
      </c>
      <c r="I19" s="14">
        <f>$B$8^(A19-1)</f>
        <v/>
      </c>
      <c r="J19" s="13">
        <f>F19*(0.5+1.5*G19)*H19*I19*(1+$B$9)*(1+$B$10)</f>
        <v/>
      </c>
      <c r="K19" s="15">
        <f>$B$11*$B$12^(A19-1)*$B$13*$B$14</f>
        <v/>
      </c>
      <c r="L19" s="13">
        <f>J19*K19</f>
        <v/>
      </c>
      <c r="M19" s="13">
        <f>E19/L19</f>
        <v/>
      </c>
      <c r="N19" s="13">
        <f>M19/D19</f>
        <v/>
      </c>
      <c r="O19" s="16" t="n">
        <v>180</v>
      </c>
      <c r="P19" s="14">
        <f>IF(O19="","",M19/O19)</f>
        <v/>
      </c>
      <c r="Q19" s="14">
        <f>Q18+M18/3600</f>
        <v/>
      </c>
    </row>
    <row r="20">
      <c r="A20" s="11" t="n">
        <v>3</v>
      </c>
      <c r="B20" s="11" t="inlineStr">
        <is>
          <t>练气三层</t>
        </is>
      </c>
      <c r="C20" s="12" t="n">
        <v>300</v>
      </c>
      <c r="D20" s="9" t="n">
        <v>1.949336</v>
      </c>
      <c r="E20" s="13">
        <f>C20*D20*(1+$B$9)</f>
        <v/>
      </c>
      <c r="F20" s="9" t="n">
        <v>30</v>
      </c>
      <c r="G20" s="7" t="n">
        <v>0.16</v>
      </c>
      <c r="H20" s="14">
        <f>$B$7</f>
        <v/>
      </c>
      <c r="I20" s="14">
        <f>$B$8^(A20-1)</f>
        <v/>
      </c>
      <c r="J20" s="13">
        <f>F20*(0.5+1.5*G20)*H20*I20*(1+$B$9)*(1+$B$10)</f>
        <v/>
      </c>
      <c r="K20" s="15">
        <f>$B$11*$B$12^(A20-1)*$B$13*$B$14</f>
        <v/>
      </c>
      <c r="L20" s="13">
        <f>J20*K20</f>
        <v/>
      </c>
      <c r="M20" s="13">
        <f>E20/L20</f>
        <v/>
      </c>
      <c r="N20" s="13">
        <f>M20/D20</f>
        <v/>
      </c>
      <c r="O20" s="16" t="n">
        <v>327.0817067097851</v>
      </c>
      <c r="P20" s="14">
        <f>IF(O20="","",M20/O20)</f>
        <v/>
      </c>
      <c r="Q20" s="14">
        <f>Q19+M19/3600</f>
        <v/>
      </c>
    </row>
    <row r="21">
      <c r="A21" s="11" t="n">
        <v>4</v>
      </c>
      <c r="B21" s="11" t="inlineStr">
        <is>
          <t>练气四层</t>
        </is>
      </c>
      <c r="C21" s="12" t="n">
        <v>450</v>
      </c>
      <c r="D21" s="9" t="n">
        <v>2.078078</v>
      </c>
      <c r="E21" s="13">
        <f>C21*D21*(1+$B$9)</f>
        <v/>
      </c>
      <c r="F21" s="9" t="n">
        <v>30</v>
      </c>
      <c r="G21" s="7" t="n">
        <v>0.16</v>
      </c>
      <c r="H21" s="14">
        <f>$B$7</f>
        <v/>
      </c>
      <c r="I21" s="14">
        <f>$B$8^(A21-1)</f>
        <v/>
      </c>
      <c r="J21" s="13">
        <f>F21*(0.5+1.5*G21)*H21*I21*(1+$B$9)*(1+$B$10)</f>
        <v/>
      </c>
      <c r="K21" s="15">
        <f>$B$11*$B$12^(A21-1)*$B$13*$B$14</f>
        <v/>
      </c>
      <c r="L21" s="13">
        <f>J21*K21</f>
        <v/>
      </c>
      <c r="M21" s="13">
        <f>E21/L21</f>
        <v/>
      </c>
      <c r="N21" s="13">
        <f>M21/D21</f>
        <v/>
      </c>
      <c r="O21" s="16" t="n">
        <v>594.3469048010328</v>
      </c>
      <c r="P21" s="14">
        <f>IF(O21="","",M21/O21)</f>
        <v/>
      </c>
      <c r="Q21" s="14">
        <f>Q20+M20/3600</f>
        <v/>
      </c>
    </row>
    <row r="22">
      <c r="A22" s="11" t="n">
        <v>5</v>
      </c>
      <c r="B22" s="11" t="inlineStr">
        <is>
          <t>练气五层</t>
        </is>
      </c>
      <c r="C22" s="12" t="n">
        <v>700</v>
      </c>
      <c r="D22" s="9" t="n">
        <v>2.136204</v>
      </c>
      <c r="E22" s="13">
        <f>C22*D22*(1+$B$9)</f>
        <v/>
      </c>
      <c r="F22" s="9" t="n">
        <v>30</v>
      </c>
      <c r="G22" s="7" t="n">
        <v>0.16</v>
      </c>
      <c r="H22" s="14">
        <f>$B$7</f>
        <v/>
      </c>
      <c r="I22" s="14">
        <f>$B$8^(A22-1)</f>
        <v/>
      </c>
      <c r="J22" s="13">
        <f>F22*(0.5+1.5*G22)*H22*I22*(1+$B$9)*(1+$B$10)</f>
        <v/>
      </c>
      <c r="K22" s="15">
        <f>$B$11*$B$12^(A22-1)*$B$13*$B$14</f>
        <v/>
      </c>
      <c r="L22" s="13">
        <f>J22*K22</f>
        <v/>
      </c>
      <c r="M22" s="13">
        <f>E22/L22</f>
        <v/>
      </c>
      <c r="N22" s="13">
        <f>M22/D22</f>
        <v/>
      </c>
      <c r="O22" s="16" t="n">
        <v>1080</v>
      </c>
      <c r="P22" s="14">
        <f>IF(O22="","",M22/O22)</f>
        <v/>
      </c>
      <c r="Q22" s="14">
        <f>Q21+M21/3600</f>
        <v/>
      </c>
    </row>
    <row r="23">
      <c r="A23" s="11" t="n">
        <v>6</v>
      </c>
      <c r="B23" s="11" t="inlineStr">
        <is>
          <t>练气六层</t>
        </is>
      </c>
      <c r="C23" s="12" t="n">
        <v>1300</v>
      </c>
      <c r="D23" s="9" t="n">
        <v>1.900548</v>
      </c>
      <c r="E23" s="13">
        <f>C23*D23*(1+$B$9)</f>
        <v/>
      </c>
      <c r="F23" s="9" t="n">
        <v>30</v>
      </c>
      <c r="G23" s="7" t="n">
        <v>0.27</v>
      </c>
      <c r="H23" s="14">
        <f>$B$7</f>
        <v/>
      </c>
      <c r="I23" s="14">
        <f>$B$8^(A23-1)</f>
        <v/>
      </c>
      <c r="J23" s="13">
        <f>F23*(0.5+1.5*G23)*H23*I23*(1+$B$9)*(1+$B$10)</f>
        <v/>
      </c>
      <c r="K23" s="15">
        <f>$B$11*$B$12^(A23-1)*$B$13*$B$14</f>
        <v/>
      </c>
      <c r="L23" s="13">
        <f>J23*K23</f>
        <v/>
      </c>
      <c r="M23" s="13">
        <f>E23/L23</f>
        <v/>
      </c>
      <c r="N23" s="13">
        <f>M23/D23</f>
        <v/>
      </c>
      <c r="O23" s="16" t="n">
        <v>1658.080566574886</v>
      </c>
      <c r="P23" s="14">
        <f>IF(O23="","",M23/O23)</f>
        <v/>
      </c>
      <c r="Q23" s="14">
        <f>Q22+M22/3600</f>
        <v/>
      </c>
    </row>
    <row r="24">
      <c r="A24" s="11" t="n">
        <v>7</v>
      </c>
      <c r="B24" s="11" t="inlineStr">
        <is>
          <t>练气七层</t>
        </is>
      </c>
      <c r="C24" s="12" t="n">
        <v>2000</v>
      </c>
      <c r="D24" s="9" t="n">
        <v>1.669001</v>
      </c>
      <c r="E24" s="13">
        <f>C24*D24*(1+$B$9)</f>
        <v/>
      </c>
      <c r="F24" s="9" t="n">
        <v>30</v>
      </c>
      <c r="G24" s="7" t="n">
        <v>0.27</v>
      </c>
      <c r="H24" s="14">
        <f>$B$7</f>
        <v/>
      </c>
      <c r="I24" s="14">
        <f>$B$8^(A24-1)</f>
        <v/>
      </c>
      <c r="J24" s="13">
        <f>F24*(0.5+1.5*G24)*H24*I24*(1+$B$9)*(1+$B$10)</f>
        <v/>
      </c>
      <c r="K24" s="15">
        <f>$B$11*$B$12^(A24-1)*$B$13*$B$14</f>
        <v/>
      </c>
      <c r="L24" s="13">
        <f>J24*K24</f>
        <v/>
      </c>
      <c r="M24" s="13">
        <f>E24/L24</f>
        <v/>
      </c>
      <c r="N24" s="13">
        <f>M24/D24</f>
        <v/>
      </c>
      <c r="O24" s="16" t="n">
        <v>2545.584412271571</v>
      </c>
      <c r="P24" s="14">
        <f>IF(O24="","",M24/O24)</f>
        <v/>
      </c>
      <c r="Q24" s="14">
        <f>Q23+M23/3600</f>
        <v/>
      </c>
    </row>
    <row r="25">
      <c r="A25" s="11" t="n">
        <v>8</v>
      </c>
      <c r="B25" s="11" t="inlineStr">
        <is>
          <t>练气八层</t>
        </is>
      </c>
      <c r="C25" s="12" t="n">
        <v>3000</v>
      </c>
      <c r="D25" s="9" t="n">
        <v>1.503246</v>
      </c>
      <c r="E25" s="13">
        <f>C25*D25*(1+$B$9)</f>
        <v/>
      </c>
      <c r="F25" s="9" t="n">
        <v>30</v>
      </c>
      <c r="G25" s="7" t="n">
        <v>0.27</v>
      </c>
      <c r="H25" s="14">
        <f>$B$7</f>
        <v/>
      </c>
      <c r="I25" s="14">
        <f>$B$8^(A25-1)</f>
        <v/>
      </c>
      <c r="J25" s="13">
        <f>F25*(0.5+1.5*G25)*H25*I25*(1+$B$9)*(1+$B$10)</f>
        <v/>
      </c>
      <c r="K25" s="15">
        <f>$B$11*$B$12^(A25-1)*$B$13*$B$14</f>
        <v/>
      </c>
      <c r="L25" s="13">
        <f>J25*K25</f>
        <v/>
      </c>
      <c r="M25" s="13">
        <f>E25/L25</f>
        <v/>
      </c>
      <c r="N25" s="13">
        <f>M25/D25</f>
        <v/>
      </c>
      <c r="O25" s="16" t="n">
        <v>3908.133374595783</v>
      </c>
      <c r="P25" s="14">
        <f>IF(O25="","",M25/O25)</f>
        <v/>
      </c>
      <c r="Q25" s="14">
        <f>Q24+M24/3600</f>
        <v/>
      </c>
    </row>
    <row r="26">
      <c r="A26" s="11" t="n">
        <v>9</v>
      </c>
      <c r="B26" s="11" t="inlineStr">
        <is>
          <t>练气九层</t>
        </is>
      </c>
      <c r="C26" s="12" t="n">
        <v>5600</v>
      </c>
      <c r="D26" s="9" t="n">
        <v>1.466692</v>
      </c>
      <c r="E26" s="13">
        <f>C26*D26*(1+$B$9)</f>
        <v/>
      </c>
      <c r="F26" s="9" t="n">
        <v>30</v>
      </c>
      <c r="G26" s="7" t="n">
        <v>0.48</v>
      </c>
      <c r="H26" s="14">
        <f>$B$7</f>
        <v/>
      </c>
      <c r="I26" s="14">
        <f>$B$8^(A26-1)</f>
        <v/>
      </c>
      <c r="J26" s="13">
        <f>F26*(0.5+1.5*G26)*H26*I26*(1+$B$9)*(1+$B$10)</f>
        <v/>
      </c>
      <c r="K26" s="15">
        <f>$B$11*$B$12^(A26-1)*$B$13*$B$14</f>
        <v/>
      </c>
      <c r="L26" s="13">
        <f>J26*K26</f>
        <v/>
      </c>
      <c r="M26" s="13">
        <f>E26/L26</f>
        <v/>
      </c>
      <c r="N26" s="13">
        <f>M26/D26</f>
        <v/>
      </c>
      <c r="O26" s="16" t="n">
        <v>6000</v>
      </c>
      <c r="P26" s="14">
        <f>IF(O26="","",M26/O26)</f>
        <v/>
      </c>
      <c r="Q26" s="14">
        <f>Q25+M25/3600</f>
        <v/>
      </c>
    </row>
    <row r="27">
      <c r="A27" s="11" t="n">
        <v>10</v>
      </c>
      <c r="B27" s="11" t="inlineStr">
        <is>
          <t>练气十层</t>
        </is>
      </c>
      <c r="C27" s="12" t="n">
        <v>8500</v>
      </c>
      <c r="D27" s="9" t="n">
        <v>1.530606</v>
      </c>
      <c r="E27" s="13">
        <f>C27*D27*(1+$B$9)</f>
        <v/>
      </c>
      <c r="F27" s="9" t="n">
        <v>30</v>
      </c>
      <c r="G27" s="7" t="n">
        <v>0.48</v>
      </c>
      <c r="H27" s="14">
        <f>$B$7</f>
        <v/>
      </c>
      <c r="I27" s="14">
        <f>$B$8^(A27-1)</f>
        <v/>
      </c>
      <c r="J27" s="13">
        <f>F27*(0.5+1.5*G27)*H27*I27*(1+$B$9)*(1+$B$10)</f>
        <v/>
      </c>
      <c r="K27" s="15">
        <f>$B$11*$B$12^(A27-1)*$B$13*$B$14</f>
        <v/>
      </c>
      <c r="L27" s="13">
        <f>J27*K27</f>
        <v/>
      </c>
      <c r="M27" s="13">
        <f>E27/L27</f>
        <v/>
      </c>
      <c r="N27" s="13">
        <f>M27/D27</f>
        <v/>
      </c>
      <c r="O27" s="16" t="n">
        <v>10800</v>
      </c>
      <c r="P27" s="14">
        <f>IF(O27="","",M27/O27)</f>
        <v/>
      </c>
      <c r="Q27" s="14">
        <f>Q26+M26/3600</f>
        <v/>
      </c>
    </row>
    <row r="28">
      <c r="A28" s="11" t="n">
        <v>11</v>
      </c>
      <c r="B28" s="11" t="inlineStr">
        <is>
          <t>筑基初期</t>
        </is>
      </c>
      <c r="C28" s="12" t="n">
        <v>18000</v>
      </c>
      <c r="D28" s="9" t="n">
        <v>2.217962</v>
      </c>
      <c r="E28" s="13">
        <f>C28*D28*(1+$B$9)</f>
        <v/>
      </c>
      <c r="F28" s="9" t="n">
        <v>60</v>
      </c>
      <c r="G28" s="7" t="n">
        <v>0.5600000000000001</v>
      </c>
      <c r="H28" s="14">
        <f>$B$7</f>
        <v/>
      </c>
      <c r="I28" s="14">
        <f>$B$8^(A28-1)</f>
        <v/>
      </c>
      <c r="J28" s="13">
        <f>F28*(0.5+1.5*G28)*H28*I28*(1+$B$9)*(1+$B$10)</f>
        <v/>
      </c>
      <c r="K28" s="15">
        <f>$B$11*$B$12^(A28-1)*$B$13*$B$14</f>
        <v/>
      </c>
      <c r="L28" s="13">
        <f>J28*K28</f>
        <v/>
      </c>
      <c r="M28" s="13">
        <f>E28/L28</f>
        <v/>
      </c>
      <c r="N28" s="13">
        <f>M28/D28</f>
        <v/>
      </c>
      <c r="O28" s="16" t="n">
        <v>17143.93136125655</v>
      </c>
      <c r="P28" s="14">
        <f>IF(O28="","",M28/O28)</f>
        <v/>
      </c>
      <c r="Q28" s="14">
        <f>Q27+M27/3600</f>
        <v/>
      </c>
    </row>
    <row r="29">
      <c r="A29" s="11" t="n">
        <v>12</v>
      </c>
      <c r="B29" s="11" t="inlineStr">
        <is>
          <t>筑基中期</t>
        </is>
      </c>
      <c r="C29" s="12" t="n">
        <v>27000</v>
      </c>
      <c r="D29" s="9" t="n">
        <v>2.065533</v>
      </c>
      <c r="E29" s="13">
        <f>C29*D29*(1+$B$9)</f>
        <v/>
      </c>
      <c r="F29" s="9" t="n">
        <v>60</v>
      </c>
      <c r="G29" s="7" t="n">
        <v>0.5600000000000001</v>
      </c>
      <c r="H29" s="14">
        <f>$B$7</f>
        <v/>
      </c>
      <c r="I29" s="14">
        <f>$B$8^(A29-1)</f>
        <v/>
      </c>
      <c r="J29" s="13">
        <f>F29*(0.5+1.5*G29)*H29*I29*(1+$B$9)*(1+$B$10)</f>
        <v/>
      </c>
      <c r="K29" s="15">
        <f>$B$11*$B$12^(A29-1)*$B$13*$B$14</f>
        <v/>
      </c>
      <c r="L29" s="13">
        <f>J29*K29</f>
        <v/>
      </c>
      <c r="M29" s="13">
        <f>E29/L29</f>
        <v/>
      </c>
      <c r="N29" s="13">
        <f>M29/D29</f>
        <v/>
      </c>
      <c r="O29" s="16" t="n">
        <v>27214.29467772926</v>
      </c>
      <c r="P29" s="14">
        <f>IF(O29="","",M29/O29)</f>
        <v/>
      </c>
      <c r="Q29" s="14">
        <f>Q28+M28/3600</f>
        <v/>
      </c>
    </row>
    <row r="30">
      <c r="A30" s="11" t="n">
        <v>13</v>
      </c>
      <c r="B30" s="11" t="inlineStr">
        <is>
          <t>筑基后期</t>
        </is>
      </c>
      <c r="C30" s="12" t="n">
        <v>40000</v>
      </c>
      <c r="D30" s="9" t="n">
        <v>1.947624</v>
      </c>
      <c r="E30" s="13">
        <f>C30*D30*(1+$B$9)</f>
        <v/>
      </c>
      <c r="F30" s="9" t="n">
        <v>60</v>
      </c>
      <c r="G30" s="7" t="n">
        <v>0.5600000000000001</v>
      </c>
      <c r="H30" s="14">
        <f>$B$7</f>
        <v/>
      </c>
      <c r="I30" s="14">
        <f>$B$8^(A30-1)</f>
        <v/>
      </c>
      <c r="J30" s="13">
        <f>F30*(0.5+1.5*G30)*H30*I30*(1+$B$9)*(1+$B$10)</f>
        <v/>
      </c>
      <c r="K30" s="15">
        <f>$B$11*$B$12^(A30-1)*$B$13*$B$14</f>
        <v/>
      </c>
      <c r="L30" s="13">
        <f>J30*K30</f>
        <v/>
      </c>
      <c r="M30" s="13">
        <f>E30/L30</f>
        <v/>
      </c>
      <c r="N30" s="13">
        <f>M30/D30</f>
        <v/>
      </c>
      <c r="O30" s="16" t="n">
        <v>43200</v>
      </c>
      <c r="P30" s="14">
        <f>IF(O30="","",M30/O30)</f>
        <v/>
      </c>
      <c r="Q30" s="14">
        <f>Q29+M29/3600</f>
        <v/>
      </c>
    </row>
    <row r="31">
      <c r="A31" s="11" t="n">
        <v>14</v>
      </c>
      <c r="B31" s="11" t="inlineStr">
        <is>
          <t>筑基圆满</t>
        </is>
      </c>
      <c r="C31" s="12" t="n">
        <v>60000</v>
      </c>
      <c r="D31" s="9" t="n">
        <v>2.285213</v>
      </c>
      <c r="E31" s="13">
        <f>C31*D31*(1+$B$9)</f>
        <v/>
      </c>
      <c r="F31" s="9" t="n">
        <v>60</v>
      </c>
      <c r="G31" s="7" t="n">
        <v>0.5600000000000001</v>
      </c>
      <c r="H31" s="14">
        <f>$B$7</f>
        <v/>
      </c>
      <c r="I31" s="14">
        <f>$B$8^(A31-1)</f>
        <v/>
      </c>
      <c r="J31" s="13">
        <f>F31*(0.5+1.5*G31)*H31*I31*(1+$B$9)*(1+$B$10)</f>
        <v/>
      </c>
      <c r="K31" s="15">
        <f>$B$11*$B$12^(A31-1)*$B$13*$B$14</f>
        <v/>
      </c>
      <c r="L31" s="13">
        <f>J31*K31</f>
        <v/>
      </c>
      <c r="M31" s="13">
        <f>E31/L31</f>
        <v/>
      </c>
      <c r="N31" s="13">
        <f>M31/D31</f>
        <v/>
      </c>
      <c r="O31" s="16" t="n">
        <v>86400</v>
      </c>
      <c r="P31" s="14">
        <f>IF(O31="","",M31/O31)</f>
        <v/>
      </c>
      <c r="Q31" s="14">
        <f>Q30+M30/3600</f>
        <v/>
      </c>
    </row>
    <row r="32">
      <c r="A32" s="11" t="n">
        <v>15</v>
      </c>
      <c r="B32" s="11" t="inlineStr">
        <is>
          <t>结丹初期</t>
        </is>
      </c>
      <c r="C32" s="12" t="n">
        <v>120000</v>
      </c>
      <c r="D32" s="9" t="n">
        <v>3.066285</v>
      </c>
      <c r="E32" s="13">
        <f>C32*D32*(1+$B$9)</f>
        <v/>
      </c>
      <c r="F32" s="9" t="n">
        <v>100</v>
      </c>
      <c r="G32" s="7" t="n">
        <v>0.8</v>
      </c>
      <c r="H32" s="14">
        <f>$B$7</f>
        <v/>
      </c>
      <c r="I32" s="14">
        <f>$B$8^(A32-1)</f>
        <v/>
      </c>
      <c r="J32" s="13">
        <f>F32*(0.5+1.5*G32)*H32*I32*(1+$B$9)*(1+$B$10)</f>
        <v/>
      </c>
      <c r="K32" s="15">
        <f>$B$11*$B$12^(A32-1)*$B$13*$B$14</f>
        <v/>
      </c>
      <c r="L32" s="13">
        <f>J32*K32</f>
        <v/>
      </c>
      <c r="M32" s="13">
        <f>E32/L32</f>
        <v/>
      </c>
      <c r="N32" s="13">
        <f>M32/D32</f>
        <v/>
      </c>
      <c r="O32" s="16" t="n">
        <v>124610.3628745601</v>
      </c>
      <c r="P32" s="14">
        <f>IF(O32="","",M32/O32)</f>
        <v/>
      </c>
      <c r="Q32" s="14">
        <f>Q31+M31/3600</f>
        <v/>
      </c>
    </row>
    <row r="33">
      <c r="A33" s="11" t="n">
        <v>16</v>
      </c>
      <c r="B33" s="11" t="inlineStr">
        <is>
          <t>结丹中期</t>
        </is>
      </c>
      <c r="C33" s="12" t="n">
        <v>160000</v>
      </c>
      <c r="D33" s="9" t="n">
        <v>2.91875</v>
      </c>
      <c r="E33" s="13">
        <f>C33*D33*(1+$B$9)</f>
        <v/>
      </c>
      <c r="F33" s="9" t="n">
        <v>100</v>
      </c>
      <c r="G33" s="7" t="n">
        <v>0.8</v>
      </c>
      <c r="H33" s="14">
        <f>$B$7</f>
        <v/>
      </c>
      <c r="I33" s="14">
        <f>$B$8^(A33-1)</f>
        <v/>
      </c>
      <c r="J33" s="13">
        <f>F33*(0.5+1.5*G33)*H33*I33*(1+$B$9)*(1+$B$10)</f>
        <v/>
      </c>
      <c r="K33" s="15">
        <f>$B$11*$B$12^(A33-1)*$B$13*$B$14</f>
        <v/>
      </c>
      <c r="L33" s="13">
        <f>J33*K33</f>
        <v/>
      </c>
      <c r="M33" s="13">
        <f>E33/L33</f>
        <v/>
      </c>
      <c r="N33" s="13">
        <f>M33/D33</f>
        <v/>
      </c>
      <c r="O33" s="16" t="n">
        <v>179719.2423116845</v>
      </c>
      <c r="P33" s="14">
        <f>IF(O33="","",M33/O33)</f>
        <v/>
      </c>
      <c r="Q33" s="14">
        <f>Q32+M32/3600</f>
        <v/>
      </c>
    </row>
    <row r="34">
      <c r="A34" s="11" t="n">
        <v>17</v>
      </c>
      <c r="B34" s="11" t="inlineStr">
        <is>
          <t>结丹后期</t>
        </is>
      </c>
      <c r="C34" s="12" t="n">
        <v>200000</v>
      </c>
      <c r="D34" s="9" t="n">
        <v>2.963535</v>
      </c>
      <c r="E34" s="13">
        <f>C34*D34*(1+$B$9)</f>
        <v/>
      </c>
      <c r="F34" s="9" t="n">
        <v>100</v>
      </c>
      <c r="G34" s="7" t="n">
        <v>0.8</v>
      </c>
      <c r="H34" s="14">
        <f>$B$7</f>
        <v/>
      </c>
      <c r="I34" s="14">
        <f>$B$8^(A34-1)</f>
        <v/>
      </c>
      <c r="J34" s="13">
        <f>F34*(0.5+1.5*G34)*H34*I34*(1+$B$9)*(1+$B$10)</f>
        <v/>
      </c>
      <c r="K34" s="15">
        <f>$B$11*$B$12^(A34-1)*$B$13*$B$14</f>
        <v/>
      </c>
      <c r="L34" s="13">
        <f>J34*K34</f>
        <v/>
      </c>
      <c r="M34" s="13">
        <f>E34/L34</f>
        <v/>
      </c>
      <c r="N34" s="13">
        <f>M34/D34</f>
        <v/>
      </c>
      <c r="O34" s="16" t="n">
        <v>259200</v>
      </c>
      <c r="P34" s="14">
        <f>IF(O34="","",M34/O34)</f>
        <v/>
      </c>
      <c r="Q34" s="14">
        <f>Q33+M33/3600</f>
        <v/>
      </c>
    </row>
    <row r="35">
      <c r="A35" s="11" t="n">
        <v>18</v>
      </c>
      <c r="B35" s="11" t="inlineStr">
        <is>
          <t>结丹圆满</t>
        </is>
      </c>
      <c r="C35" s="12" t="n">
        <v>240000</v>
      </c>
      <c r="D35" s="9" t="n">
        <v>2.963535</v>
      </c>
      <c r="E35" s="13">
        <f>C35*D35*(1+$B$9)</f>
        <v/>
      </c>
      <c r="F35" s="9" t="n">
        <v>100</v>
      </c>
      <c r="G35" s="7" t="n">
        <v>0.8</v>
      </c>
      <c r="H35" s="14">
        <f>$B$7</f>
        <v/>
      </c>
      <c r="I35" s="14">
        <f>$B$8^(A35-1)</f>
        <v/>
      </c>
      <c r="J35" s="13">
        <f>F35*(0.5+1.5*G35)*H35*I35*(1+$B$9)*(1+$B$10)</f>
        <v/>
      </c>
      <c r="K35" s="15">
        <f>$B$11*$B$12^(A35-1)*$B$13*$B$14</f>
        <v/>
      </c>
      <c r="L35" s="13">
        <f>J35*K35</f>
        <v/>
      </c>
      <c r="M35" s="13">
        <f>E35/L35</f>
        <v/>
      </c>
      <c r="N35" s="13">
        <f>M35/D35</f>
        <v/>
      </c>
      <c r="O35" s="16" t="inlineStr"/>
      <c r="P35" s="14">
        <f>IF(O35="","",M35/O35)</f>
        <v/>
      </c>
      <c r="Q35" s="14">
        <f>Q34+M34/3600</f>
        <v/>
      </c>
    </row>
    <row r="36">
      <c r="A36" s="11" t="n">
        <v>19</v>
      </c>
      <c r="B36" s="11" t="inlineStr">
        <is>
          <t>元婴初期</t>
        </is>
      </c>
      <c r="C36" s="12" t="n">
        <v>360000</v>
      </c>
      <c r="D36" s="9" t="n">
        <v>2.963535</v>
      </c>
      <c r="E36" s="13">
        <f>C36*D36*(1+$B$9)</f>
        <v/>
      </c>
      <c r="F36" s="9" t="n">
        <v>150</v>
      </c>
      <c r="G36" s="7" t="n">
        <v>1</v>
      </c>
      <c r="H36" s="14">
        <f>$B$7</f>
        <v/>
      </c>
      <c r="I36" s="14">
        <f>$B$8^(A36-1)</f>
        <v/>
      </c>
      <c r="J36" s="13">
        <f>F36*(0.5+1.5*G36)*H36*I36*(1+$B$9)*(1+$B$10)</f>
        <v/>
      </c>
      <c r="K36" s="15">
        <f>$B$11*$B$12^(A36-1)*$B$13*$B$14</f>
        <v/>
      </c>
      <c r="L36" s="13">
        <f>J36*K36</f>
        <v/>
      </c>
      <c r="M36" s="13">
        <f>E36/L36</f>
        <v/>
      </c>
      <c r="N36" s="13">
        <f>M36/D36</f>
        <v/>
      </c>
      <c r="O36" s="16" t="inlineStr"/>
      <c r="P36" s="14">
        <f>IF(O36="","",M36/O36)</f>
        <v/>
      </c>
      <c r="Q36" s="14">
        <f>Q35+M35/3600</f>
        <v/>
      </c>
    </row>
    <row r="37">
      <c r="A37" s="11" t="n">
        <v>20</v>
      </c>
      <c r="B37" s="11" t="inlineStr">
        <is>
          <t>元婴中期</t>
        </is>
      </c>
      <c r="C37" s="12" t="n">
        <v>540000</v>
      </c>
      <c r="D37" s="9" t="n">
        <v>2.963535</v>
      </c>
      <c r="E37" s="13">
        <f>C37*D37*(1+$B$9)</f>
        <v/>
      </c>
      <c r="F37" s="9" t="n">
        <v>150</v>
      </c>
      <c r="G37" s="7" t="n">
        <v>1</v>
      </c>
      <c r="H37" s="14">
        <f>$B$7</f>
        <v/>
      </c>
      <c r="I37" s="14">
        <f>$B$8^(A37-1)</f>
        <v/>
      </c>
      <c r="J37" s="13">
        <f>F37*(0.5+1.5*G37)*H37*I37*(1+$B$9)*(1+$B$10)</f>
        <v/>
      </c>
      <c r="K37" s="15">
        <f>$B$11*$B$12^(A37-1)*$B$13*$B$14</f>
        <v/>
      </c>
      <c r="L37" s="13">
        <f>J37*K37</f>
        <v/>
      </c>
      <c r="M37" s="13">
        <f>E37/L37</f>
        <v/>
      </c>
      <c r="N37" s="13">
        <f>M37/D37</f>
        <v/>
      </c>
      <c r="O37" s="16" t="inlineStr"/>
      <c r="P37" s="14">
        <f>IF(O37="","",M37/O37)</f>
        <v/>
      </c>
      <c r="Q37" s="14">
        <f>Q36+M36/3600</f>
        <v/>
      </c>
    </row>
    <row r="38">
      <c r="A38" s="11" t="n">
        <v>21</v>
      </c>
      <c r="B38" s="11" t="inlineStr">
        <is>
          <t>元婴后期</t>
        </is>
      </c>
      <c r="C38" s="12" t="n">
        <v>810000</v>
      </c>
      <c r="D38" s="9" t="n">
        <v>2.963535</v>
      </c>
      <c r="E38" s="13">
        <f>C38*D38*(1+$B$9)</f>
        <v/>
      </c>
      <c r="F38" s="9" t="n">
        <v>150</v>
      </c>
      <c r="G38" s="7" t="n">
        <v>1</v>
      </c>
      <c r="H38" s="14">
        <f>$B$7</f>
        <v/>
      </c>
      <c r="I38" s="14">
        <f>$B$8^(A38-1)</f>
        <v/>
      </c>
      <c r="J38" s="13">
        <f>F38*(0.5+1.5*G38)*H38*I38*(1+$B$9)*(1+$B$10)</f>
        <v/>
      </c>
      <c r="K38" s="15">
        <f>$B$11*$B$12^(A38-1)*$B$13*$B$14</f>
        <v/>
      </c>
      <c r="L38" s="13">
        <f>J38*K38</f>
        <v/>
      </c>
      <c r="M38" s="13">
        <f>E38/L38</f>
        <v/>
      </c>
      <c r="N38" s="13">
        <f>M38/D38</f>
        <v/>
      </c>
      <c r="O38" s="16" t="inlineStr"/>
      <c r="P38" s="14">
        <f>IF(O38="","",M38/O38)</f>
        <v/>
      </c>
      <c r="Q38" s="14">
        <f>Q37+M37/3600</f>
        <v/>
      </c>
    </row>
    <row r="39">
      <c r="A39" s="11" t="n">
        <v>22</v>
      </c>
      <c r="B39" s="11" t="inlineStr">
        <is>
          <t>元婴圆满</t>
        </is>
      </c>
      <c r="C39" s="12" t="n">
        <v>1215000</v>
      </c>
      <c r="D39" s="9" t="n">
        <v>2.963535</v>
      </c>
      <c r="E39" s="13">
        <f>C39*D39*(1+$B$9)</f>
        <v/>
      </c>
      <c r="F39" s="9" t="n">
        <v>150</v>
      </c>
      <c r="G39" s="7" t="n">
        <v>1</v>
      </c>
      <c r="H39" s="14">
        <f>$B$7</f>
        <v/>
      </c>
      <c r="I39" s="14">
        <f>$B$8^(A39-1)</f>
        <v/>
      </c>
      <c r="J39" s="13">
        <f>F39*(0.5+1.5*G39)*H39*I39*(1+$B$9)*(1+$B$10)</f>
        <v/>
      </c>
      <c r="K39" s="15">
        <f>$B$11*$B$12^(A39-1)*$B$13*$B$14</f>
        <v/>
      </c>
      <c r="L39" s="13">
        <f>J39*K39</f>
        <v/>
      </c>
      <c r="M39" s="13">
        <f>E39/L39</f>
        <v/>
      </c>
      <c r="N39" s="13">
        <f>M39/D39</f>
        <v/>
      </c>
      <c r="O39" s="16" t="inlineStr"/>
      <c r="P39" s="14">
        <f>IF(O39="","",M39/O39)</f>
        <v/>
      </c>
      <c r="Q39" s="14">
        <f>Q38+M38/3600</f>
        <v/>
      </c>
    </row>
    <row r="41" ht="28" customHeight="1">
      <c r="A41" s="6" t="inlineStr">
        <is>
          <t>读法：校准后耗时 = 有效上限 / 修为每秒；裸耗时 = 校准后 / K（没校准的公式结果）。</t>
        </is>
      </c>
    </row>
    <row r="42" ht="28" customHeight="1">
      <c r="A42" s="6" t="inlineStr">
        <is>
          <t>子嗣加成同时乘在有效上限和灵力/秒上，所以在「校准后耗时」里精确对消；改 B9 看这一列不变。</t>
        </is>
      </c>
    </row>
    <row r="43" ht="28" customHeight="1">
      <c r="A43" s="6" t="inlineStr">
        <is>
          <t>K 是按基准路线反推的（md §2.4）。改 C/D/F/G/O 后，K 要按新基准重算；L18~22 的 K 暂沿用 L17。</t>
        </is>
      </c>
    </row>
    <row r="44" ht="28" customHeight="1">
      <c r="A44" s="6" t="inlineStr">
        <is>
          <t>宪法锚点在本行的「下一级」：第 2 行 180s 才是「练气三层 3 分钟」，第 5 行 1080s 才是「练气六层 18 分钟」。</t>
        </is>
      </c>
    </row>
    <row r="45" ht="28" customHeight="1">
      <c r="A45" s="6" t="inlineStr">
        <is>
          <t>静态 22 级表（含门槛 / 灵地要求 / 累计时间）见 md §1.2 与 §2.5，本表不重复。</t>
        </is>
      </c>
    </row>
  </sheetData>
  <mergeCells count="19">
    <mergeCell ref="A44:Q44"/>
    <mergeCell ref="C6:J6"/>
    <mergeCell ref="C14:J14"/>
    <mergeCell ref="C5:J5"/>
    <mergeCell ref="A45:Q45"/>
    <mergeCell ref="A1:Q1"/>
    <mergeCell ref="C10:J10"/>
    <mergeCell ref="A16:Q16"/>
    <mergeCell ref="A41:Q41"/>
    <mergeCell ref="C9:J9"/>
    <mergeCell ref="C12:J12"/>
    <mergeCell ref="C11:J11"/>
    <mergeCell ref="A2:Q2"/>
    <mergeCell ref="A42:Q42"/>
    <mergeCell ref="C8:J8"/>
    <mergeCell ref="C7:J7"/>
    <mergeCell ref="A4:Q4"/>
    <mergeCell ref="A43:Q43"/>
    <mergeCell ref="C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Sheet 2 · 破槛路线 · 熟练度与 Fit</t>
        </is>
      </c>
    </row>
    <row r="2">
      <c r="A2" s="2" t="inlineStr">
        <is>
          <t>只保留会重算的部分。六道门槛、动作验证、灵地敏感度是静态参考表，见 数值真值表.md §3.1~§3.4。</t>
        </is>
      </c>
    </row>
    <row r="4" ht="20" customHeight="1">
      <c r="A4" s="3" t="inlineStr">
        <is>
          <t>2.1 熟练度与门槛（L6 / L9）</t>
        </is>
      </c>
    </row>
    <row r="5">
      <c r="A5" s="4" t="inlineStr">
        <is>
          <t>功法契合（同系列）</t>
        </is>
      </c>
      <c r="B5" s="7" t="n">
        <v>0.4</v>
      </c>
      <c r="C5" s="6" t="inlineStr">
        <is>
          <t>先用元氏 0.4</t>
        </is>
      </c>
    </row>
    <row r="6">
      <c r="A6" s="4" t="inlineStr">
        <is>
          <t>同参契合</t>
        </is>
      </c>
      <c r="B6" s="7" t="n">
        <v>0.6</v>
      </c>
      <c r="C6" s="6" t="inlineStr">
        <is>
          <t>同系列</t>
        </is>
      </c>
    </row>
    <row r="7">
      <c r="A7" s="4" t="inlineStr">
        <is>
          <t>L6 门槛</t>
        </is>
      </c>
      <c r="B7" s="7" t="n">
        <v>0.25</v>
      </c>
    </row>
    <row r="8">
      <c r="A8" s="17" t="inlineStr">
        <is>
          <t>L6 需要的最低熟练度 = 门槛/同参 − 功法</t>
        </is>
      </c>
      <c r="B8" s="18">
        <f>B7/B6-B5</f>
        <v/>
      </c>
    </row>
    <row r="9">
      <c r="A9" s="4" t="inlineStr">
        <is>
          <t>到达 L6 累计（分钟）</t>
        </is>
      </c>
      <c r="B9" s="5" t="n">
        <v>37.4</v>
      </c>
      <c r="C9" s="6" t="inlineStr">
        <is>
          <t>来自 md §2.5 的累计时间</t>
        </is>
      </c>
    </row>
    <row r="10">
      <c r="A10" s="17" t="inlineStr">
        <is>
          <t>到达时练功小时 = 分钟×60/4×10/24</t>
        </is>
      </c>
      <c r="B10" s="19">
        <f>B9*60/4*10/24</f>
        <v/>
      </c>
    </row>
    <row r="11">
      <c r="A11" s="17" t="inlineStr">
        <is>
          <t>到达时熟练度 = 练功小时/100×1%</t>
        </is>
      </c>
      <c r="B11" s="18">
        <f>B10/100*0.01</f>
        <v/>
      </c>
    </row>
    <row r="12">
      <c r="A12" s="17" t="inlineStr">
        <is>
          <t>L6 结果</t>
        </is>
      </c>
      <c r="B12" s="20">
        <f>IF(B11&gt;=B8,"到点就够","要等")</f>
        <v/>
      </c>
    </row>
    <row r="13">
      <c r="A13" s="17" t="inlineStr">
        <is>
          <t>L9 需要的最低熟练度（功法 0.6 / 同参 0.6）</t>
        </is>
      </c>
      <c r="B13" s="18">
        <f>0.4/0.6-0.6</f>
        <v/>
      </c>
    </row>
    <row r="14">
      <c r="A14" s="4" t="inlineStr">
        <is>
          <t>到达 L9 时熟练度（约）</t>
        </is>
      </c>
      <c r="B14" s="21" t="n">
        <v>0.1075</v>
      </c>
    </row>
    <row r="15">
      <c r="A15" s="17" t="inlineStr">
        <is>
          <t>L9 结果</t>
        </is>
      </c>
      <c r="B15" s="20">
        <f>IF(B14&gt;=B13,"同系列也能过（准正主非必须）","必须换准正主")</f>
        <v/>
      </c>
    </row>
    <row r="17" ht="20" customHeight="1">
      <c r="A17" s="3" t="inlineStr">
        <is>
          <t>2.2 Fit 连乘验证（功法 × 同参 × 灵地 vs 门槛）</t>
        </is>
      </c>
    </row>
    <row r="18">
      <c r="A18" s="4" t="inlineStr">
        <is>
          <t>功法契合</t>
        </is>
      </c>
      <c r="B18" s="7" t="n">
        <v>0.4</v>
      </c>
      <c r="C18" s="6" t="inlineStr">
        <is>
          <t>同常驻功法</t>
        </is>
      </c>
    </row>
    <row r="19">
      <c r="A19" s="4" t="inlineStr">
        <is>
          <t>同参契合</t>
        </is>
      </c>
      <c r="B19" s="7" t="n">
        <v>0.6</v>
      </c>
      <c r="C19" s="6" t="inlineStr">
        <is>
          <t>六档：1.0/0.8/0.6/0.4/0.25/0.1</t>
        </is>
      </c>
    </row>
    <row r="20">
      <c r="A20" s="4" t="inlineStr">
        <is>
          <t>灵地契合</t>
        </is>
      </c>
      <c r="B20" s="7" t="n">
        <v>1</v>
      </c>
      <c r="C20" s="6" t="inlineStr">
        <is>
          <t>完全匹配 = 1.0</t>
        </is>
      </c>
    </row>
    <row r="21">
      <c r="A21" s="4" t="inlineStr">
        <is>
          <t>门槛</t>
        </is>
      </c>
      <c r="B21" s="7" t="n">
        <v>0.25</v>
      </c>
      <c r="C21" s="6" t="inlineStr">
        <is>
          <t>练气六层 = 0.25</t>
        </is>
      </c>
    </row>
    <row r="22">
      <c r="A22" s="17" t="inlineStr">
        <is>
          <t>综合 Fit = 功法 × 同参 × 灵地</t>
        </is>
      </c>
      <c r="B22" s="22">
        <f>B18*B19*B20</f>
        <v/>
      </c>
    </row>
    <row r="23">
      <c r="A23" s="17" t="inlineStr">
        <is>
          <t>差额 = Fit − 门槛</t>
        </is>
      </c>
      <c r="B23" s="22">
        <f>B22-B21</f>
        <v/>
      </c>
    </row>
    <row r="24">
      <c r="A24" s="17" t="inlineStr">
        <is>
          <t>结果</t>
        </is>
      </c>
      <c r="B24" s="20">
        <f>IF(B22&gt;=B21,"可突破","差 "&amp;TEXT(B21-B22,"0.000"))</f>
        <v/>
      </c>
    </row>
    <row r="26" ht="28" customHeight="1">
      <c r="A26" s="6" t="inlineStr">
        <is>
          <t>2026-10-17 拍板：×2 + B（GateFit/SpeedFit 拆分）。熟练度 1%/50h；门槛用不含熟练度的 GateFit。</t>
        </is>
      </c>
    </row>
    <row r="27" ht="28" customHeight="1">
      <c r="A27" s="6" t="inlineStr">
        <is>
          <t>六道门槛 0.15/0.25/0.40/0.55/0.80（元婴 0.95 未启用）与每道门槛要求换什么，见 md §3.1~§3.2。</t>
        </is>
      </c>
    </row>
  </sheetData>
  <mergeCells count="13">
    <mergeCell ref="A17:Q17"/>
    <mergeCell ref="A27:Q27"/>
    <mergeCell ref="C21:J21"/>
    <mergeCell ref="C20:J20"/>
    <mergeCell ref="C6:J6"/>
    <mergeCell ref="A4:Q4"/>
    <mergeCell ref="A26:Q26"/>
    <mergeCell ref="A2:Q2"/>
    <mergeCell ref="C5:J5"/>
    <mergeCell ref="C19:J19"/>
    <mergeCell ref="C18:J18"/>
    <mergeCell ref="A1:Q1"/>
    <mergeCell ref="C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Sheet 3 · 镇守的时间与体力（博弈层）</t>
        </is>
      </c>
    </row>
    <row r="2">
      <c r="A2" s="2" t="inlineStr">
        <is>
          <t>黄底可改。默认 = 巡视 2h、不炼体、不选百艺。五策略静态对照表见 数值真值表.md §4.4。</t>
        </is>
      </c>
    </row>
    <row r="4" ht="20" customHeight="1">
      <c r="A4" s="3" t="inlineStr">
        <is>
          <t>3.1 输入</t>
        </is>
      </c>
    </row>
    <row r="5">
      <c r="A5" s="4" t="inlineStr">
        <is>
          <t>巡视时长 S</t>
        </is>
      </c>
      <c r="B5" s="23" t="n">
        <v>2</v>
      </c>
      <c r="C5" s="6" t="inlineStr">
        <is>
          <t>1~5 小时</t>
        </is>
      </c>
      <c r="K5" s="4" t="inlineStr">
        <is>
          <t>互动时长（小时）</t>
        </is>
      </c>
      <c r="M5" s="12" t="n">
        <v>1</v>
      </c>
    </row>
    <row r="6">
      <c r="A6" s="4" t="inlineStr">
        <is>
          <t>勾选炼体 B</t>
        </is>
      </c>
      <c r="B6" s="23" t="n">
        <v>0</v>
      </c>
      <c r="C6" s="6" t="inlineStr">
        <is>
          <t>0/1</t>
        </is>
      </c>
      <c r="K6" s="4" t="inlineStr">
        <is>
          <t>体力阈值（0=去掉）</t>
        </is>
      </c>
      <c r="M6" s="12" t="n">
        <v>0</v>
      </c>
    </row>
    <row r="7">
      <c r="A7" s="4" t="inlineStr">
        <is>
          <t>勾选百艺数 N</t>
        </is>
      </c>
      <c r="B7" s="23" t="n">
        <v>0</v>
      </c>
      <c r="C7" s="6" t="inlineStr">
        <is>
          <t>0~4</t>
        </is>
      </c>
    </row>
    <row r="8">
      <c r="A8" s="4" t="inlineStr">
        <is>
          <t>体力上限</t>
        </is>
      </c>
      <c r="B8" s="23" t="n">
        <v>145</v>
      </c>
      <c r="C8" s="6" t="inlineStr">
        <is>
          <t>145 + 外功加成</t>
        </is>
      </c>
    </row>
    <row r="9">
      <c r="A9" s="4" t="inlineStr">
        <is>
          <t>炼丹（30 精力/天）</t>
        </is>
      </c>
      <c r="B9" s="23" t="n">
        <v>0</v>
      </c>
      <c r="C9" s="6" t="inlineStr">
        <is>
          <t>0/1</t>
        </is>
      </c>
    </row>
    <row r="10">
      <c r="A10" s="4" t="inlineStr">
        <is>
          <t>炼符（30 精力/天）</t>
        </is>
      </c>
      <c r="B10" s="23" t="n">
        <v>0</v>
      </c>
      <c r="C10" s="6" t="inlineStr">
        <is>
          <t>0/1</t>
        </is>
      </c>
    </row>
    <row r="11">
      <c r="A11" s="4" t="inlineStr">
        <is>
          <t>炼阵（35 精力/天）</t>
        </is>
      </c>
      <c r="B11" s="23" t="n">
        <v>0</v>
      </c>
      <c r="C11" s="6" t="inlineStr">
        <is>
          <t>0/1</t>
        </is>
      </c>
    </row>
    <row r="12">
      <c r="A12" s="4" t="inlineStr">
        <is>
          <t>炼器（35 精力/天）</t>
        </is>
      </c>
      <c r="B12" s="23" t="n">
        <v>0</v>
      </c>
      <c r="C12" s="6" t="inlineStr">
        <is>
          <t>0/1</t>
        </is>
      </c>
    </row>
    <row r="13">
      <c r="A13" s="4" t="inlineStr">
        <is>
          <t>灵地基础产出</t>
        </is>
      </c>
      <c r="B13" s="5" t="n">
        <v>30</v>
      </c>
      <c r="C13" s="6" t="inlineStr">
        <is>
          <t>与 Sheet 1 同口径</t>
        </is>
      </c>
    </row>
    <row r="14">
      <c r="A14" s="4" t="inlineStr">
        <is>
          <t>Fit</t>
        </is>
      </c>
      <c r="B14" s="7" t="n">
        <v>0.16</v>
      </c>
      <c r="C14" s="6" t="inlineStr">
        <is>
          <t>与 Sheet 1 同口径</t>
        </is>
      </c>
    </row>
    <row r="15">
      <c r="A15" s="4" t="inlineStr">
        <is>
          <t>本命系数</t>
        </is>
      </c>
      <c r="B15" s="7" t="n">
        <v>0.8</v>
      </c>
    </row>
    <row r="16">
      <c r="A16" s="4" t="inlineStr">
        <is>
          <t>spiritRate</t>
        </is>
      </c>
      <c r="B16" s="7" t="n">
        <v>1.21</v>
      </c>
      <c r="C16" s="6" t="inlineStr">
        <is>
          <t>当前境界的累计倍率</t>
        </is>
      </c>
    </row>
    <row r="17">
      <c r="A17" s="4" t="inlineStr">
        <is>
          <t>子嗣加成</t>
        </is>
      </c>
      <c r="B17" s="8" t="n">
        <v>0</v>
      </c>
    </row>
    <row r="18">
      <c r="A18" s="4" t="inlineStr">
        <is>
          <t>当前等级 L</t>
        </is>
      </c>
      <c r="B18" s="23" t="n">
        <v>3</v>
      </c>
      <c r="C18" s="6" t="inlineStr">
        <is>
          <t>算打坐转化率用</t>
        </is>
      </c>
    </row>
    <row r="19">
      <c r="A19" s="4" t="inlineStr">
        <is>
          <t>互动体力/次</t>
        </is>
      </c>
      <c r="B19" s="23" t="n">
        <v>20</v>
      </c>
      <c r="C19" s="6" t="inlineStr">
        <is>
          <t>已拍板：15 → 20</t>
        </is>
      </c>
    </row>
    <row r="20" ht="20" customHeight="1">
      <c r="A20" s="3" t="inlineStr">
        <is>
          <t>3.2 结算（公式实时）</t>
        </is>
      </c>
    </row>
    <row r="21">
      <c r="A21" s="17" t="inlineStr">
        <is>
          <t>小循环可用 L = 12 − S</t>
        </is>
      </c>
      <c r="B21" s="19">
        <f>12-B5</f>
        <v/>
      </c>
    </row>
    <row r="22">
      <c r="A22" s="17" t="inlineStr">
        <is>
          <t>周期 C = 1 + B + 0.75N</t>
        </is>
      </c>
      <c r="B22" s="19">
        <f>1+B6+0.75*B7</f>
        <v/>
      </c>
    </row>
    <row r="23">
      <c r="A23" s="17" t="inlineStr">
        <is>
          <t>完整周期 k</t>
        </is>
      </c>
      <c r="B23" s="24">
        <f>INT(B21/B22)</f>
        <v/>
      </c>
    </row>
    <row r="24">
      <c r="A24" s="17" t="inlineStr">
        <is>
          <t>余时 r</t>
        </is>
      </c>
      <c r="B24" s="19">
        <f>B21-B23*B22</f>
        <v/>
      </c>
    </row>
    <row r="25">
      <c r="A25" s="17" t="inlineStr">
        <is>
          <t>练功轮次</t>
        </is>
      </c>
      <c r="B25" s="24">
        <f>B23+IF(B24&gt;=1,1,0)</f>
        <v/>
      </c>
    </row>
    <row r="26">
      <c r="A26" s="17" t="inlineStr">
        <is>
          <t>炼体轮次</t>
        </is>
      </c>
      <c r="B26" s="24">
        <f>IF(B6=1,B23+IF(B24-1&gt;=1,1,0),0)</f>
        <v/>
      </c>
    </row>
    <row r="27">
      <c r="A27" s="17" t="inlineStr">
        <is>
          <t>每种百艺轮次（基础）</t>
        </is>
      </c>
      <c r="B27" s="24">
        <f>B23</f>
        <v/>
      </c>
    </row>
    <row r="28">
      <c r="A28" s="17" t="inlineStr">
        <is>
          <t>体力消耗</t>
        </is>
      </c>
      <c r="B28" s="25">
        <f>B5*10+B25*3+B26*15+(B9+B10)*B27*0.75*5+(B11+B12)*B27*0.75*6</f>
        <v/>
      </c>
    </row>
    <row r="29">
      <c r="A29" s="17" t="inlineStr">
        <is>
          <t>下班剩余体力</t>
        </is>
      </c>
      <c r="B29" s="25">
        <f>MAX(0,B8-B28)</f>
        <v/>
      </c>
    </row>
    <row r="30">
      <c r="A30" s="17" t="inlineStr">
        <is>
          <t>互动次数 = min(floor(剩余/互动成本), 12/时长)</t>
        </is>
      </c>
      <c r="B30" s="24">
        <f>MIN(INT(MAX(0,B29-$M$6)/B19),INT(12/$M$5))</f>
        <v/>
      </c>
    </row>
    <row r="31">
      <c r="A31" s="17" t="inlineStr">
        <is>
          <t>睡觉时长 = 12 − 时长×互动</t>
        </is>
      </c>
      <c r="B31" s="25">
        <f>12-$M$5*B30</f>
        <v/>
      </c>
    </row>
    <row r="32">
      <c r="A32" s="17" t="inlineStr">
        <is>
          <t>次日体力 = min(睡觉×上限/4, 上限)</t>
        </is>
      </c>
      <c r="B32" s="25">
        <f>MIN(B31*B8/4,B8)</f>
        <v/>
      </c>
    </row>
    <row r="33">
      <c r="A33" s="17" t="inlineStr">
        <is>
          <t>精力消耗</t>
        </is>
      </c>
      <c r="B33" s="24">
        <f>(B9+B10)*30+(B11+B12)*35</f>
        <v/>
      </c>
    </row>
    <row r="34">
      <c r="A34" s="17" t="inlineStr">
        <is>
          <t>当日精力（含练功 +10/h）</t>
        </is>
      </c>
      <c r="B34" s="25">
        <f>MAX(0,MIN(100,100+B25*10-B33))</f>
        <v/>
      </c>
    </row>
    <row r="35">
      <c r="A35" s="17" t="inlineStr">
        <is>
          <t>次日精力（睡觉 +5/h）</t>
        </is>
      </c>
      <c r="B35" s="25">
        <f>MAX(0,MIN(100,B34+B31*5))</f>
        <v/>
      </c>
    </row>
    <row r="36">
      <c r="A36" s="17" t="inlineStr">
        <is>
          <t>每日灵力</t>
        </is>
      </c>
      <c r="B36" s="24">
        <f>B25*9.6*B13*(0.5+1.5*B14)*B15*B16*(1+B17)</f>
        <v/>
      </c>
    </row>
    <row r="37">
      <c r="A37" s="17" t="inlineStr">
        <is>
          <t>每日修为</t>
        </is>
      </c>
      <c r="B37" s="24">
        <f>B36*(0.1*0.8^(B18-1)*1.3)</f>
        <v/>
      </c>
    </row>
    <row r="39" ht="28" customHeight="1">
      <c r="A39" s="6" t="inlineStr">
        <is>
          <t>百艺轮次这里只算基础 k；余时的 45m 补位没展开，精确值见 md §4.3。</t>
        </is>
      </c>
    </row>
    <row r="40" ht="28" customHeight="1">
      <c r="A40" s="6" t="inlineStr">
        <is>
          <t>精力是「每种百艺每天」固定扣，不是每轮扣。四艺术全选 = 130/天，直接打穿 100 上限。</t>
        </is>
      </c>
    </row>
  </sheetData>
  <mergeCells count="19">
    <mergeCell ref="A40:Q40"/>
    <mergeCell ref="A39:Q39"/>
    <mergeCell ref="C6:J6"/>
    <mergeCell ref="C14:J14"/>
    <mergeCell ref="C5:J5"/>
    <mergeCell ref="A1:Q1"/>
    <mergeCell ref="C10:J10"/>
    <mergeCell ref="C16:J16"/>
    <mergeCell ref="C9:J9"/>
    <mergeCell ref="C12:J12"/>
    <mergeCell ref="C11:J11"/>
    <mergeCell ref="A2:Q2"/>
    <mergeCell ref="C8:J8"/>
    <mergeCell ref="C7:J7"/>
    <mergeCell ref="A4:Q4"/>
    <mergeCell ref="A20:Q20"/>
    <mergeCell ref="C13:J13"/>
    <mergeCell ref="C19:J19"/>
    <mergeCell ref="C18:J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Sheet 4 · 子嗣、家族与经济（计算器）</t>
        </is>
      </c>
    </row>
    <row r="2">
      <c r="A2" s="2" t="inlineStr">
        <is>
          <t>只保留输入 + 公式。加成系数 / P1-P13 月饷 / 子嗣月钱 / 14 岗位是静态参考表，见 数值真值表.md §5.1~§5.4。</t>
        </is>
      </c>
    </row>
    <row r="4" ht="20" customHeight="1">
      <c r="A4" s="3" t="inlineStr">
        <is>
          <t>4.1 战力计算器（设计 / 代码两套口径，别混用）</t>
        </is>
      </c>
    </row>
    <row r="5">
      <c r="A5" s="4" t="inlineStr">
        <is>
          <t>设计·境界系数</t>
        </is>
      </c>
      <c r="B5" s="7" t="n">
        <v>5</v>
      </c>
      <c r="C5" s="6" t="inlineStr">
        <is>
          <t>练气十 = 5.0；筑基初 = 10.0</t>
        </is>
      </c>
    </row>
    <row r="6">
      <c r="A6" s="4" t="inlineStr">
        <is>
          <t>设计·灵根系数</t>
        </is>
      </c>
      <c r="B6" s="7" t="n">
        <v>2</v>
      </c>
      <c r="C6" s="6" t="inlineStr">
        <is>
          <t>单灵根 2.0</t>
        </is>
      </c>
    </row>
    <row r="7">
      <c r="A7" s="4" t="inlineStr">
        <is>
          <t>设计·本命系数</t>
        </is>
      </c>
      <c r="B7" s="7" t="n">
        <v>1.2</v>
      </c>
      <c r="C7" s="6" t="inlineStr">
        <is>
          <t>灵兽 1.2</t>
        </is>
      </c>
    </row>
    <row r="8">
      <c r="A8" s="4" t="inlineStr">
        <is>
          <t>设计·词条和</t>
        </is>
      </c>
      <c r="B8" s="7" t="n">
        <v>0.1</v>
      </c>
      <c r="C8" s="6" t="inlineStr">
        <is>
          <t>稀有 +0.10</t>
        </is>
      </c>
    </row>
    <row r="9">
      <c r="A9" s="17" t="inlineStr">
        <is>
          <t>设计战力 = 10 × 境界 × 灵根 × 本命 × (1+词条)</t>
        </is>
      </c>
      <c r="B9" s="24">
        <f>10*B5*B6*B7*(1+B8)</f>
        <v/>
      </c>
    </row>
    <row r="11">
      <c r="A11" s="4" t="inlineStr">
        <is>
          <t>代码·等级</t>
        </is>
      </c>
      <c r="B11" s="23" t="n">
        <v>10</v>
      </c>
      <c r="C11" s="6" t="inlineStr">
        <is>
          <t>1 + 年龄×0.5</t>
        </is>
      </c>
    </row>
    <row r="12">
      <c r="A12" s="4" t="inlineStr">
        <is>
          <t>代码·品质</t>
        </is>
      </c>
      <c r="B12" s="7" t="n">
        <v>1.15</v>
      </c>
      <c r="C12" s="6" t="inlineStr">
        <is>
          <t>high</t>
        </is>
      </c>
    </row>
    <row r="13">
      <c r="A13" s="4" t="inlineStr">
        <is>
          <t>代码·灵根</t>
        </is>
      </c>
      <c r="B13" s="7" t="n">
        <v>1.8</v>
      </c>
      <c r="C13" s="6" t="inlineStr">
        <is>
          <t>1 灵根</t>
        </is>
      </c>
    </row>
    <row r="14">
      <c r="A14" s="4" t="inlineStr">
        <is>
          <t>代码·本命</t>
        </is>
      </c>
      <c r="B14" s="7" t="n">
        <v>1.15</v>
      </c>
      <c r="C14" s="6" t="inlineStr">
        <is>
          <t>灵兽</t>
        </is>
      </c>
    </row>
    <row r="15">
      <c r="A15" s="4" t="inlineStr">
        <is>
          <t>代码·词条和</t>
        </is>
      </c>
      <c r="B15" s="7" t="n">
        <v>0.07000000000000001</v>
      </c>
      <c r="C15" s="6" t="inlineStr">
        <is>
          <t>rare</t>
        </is>
      </c>
    </row>
    <row r="16">
      <c r="A16" s="17" t="inlineStr">
        <is>
          <t>代码 mult</t>
        </is>
      </c>
      <c r="B16" s="19">
        <f>B12*B13*B14*(1+B15)</f>
        <v/>
      </c>
    </row>
    <row r="17">
      <c r="A17" s="17" t="inlineStr">
        <is>
          <t>代码生命</t>
        </is>
      </c>
      <c r="B17" s="19">
        <f>60*B11*B16</f>
        <v/>
      </c>
    </row>
    <row r="18">
      <c r="A18" s="17" t="inlineStr">
        <is>
          <t>代码攻击</t>
        </is>
      </c>
      <c r="B18" s="19">
        <f>6*B11*B16</f>
        <v/>
      </c>
    </row>
    <row r="19">
      <c r="A19" s="17" t="inlineStr">
        <is>
          <t>代码防御</t>
        </is>
      </c>
      <c r="B19" s="19">
        <f>3*B11*B16</f>
        <v/>
      </c>
    </row>
    <row r="21" ht="20" customHeight="1">
      <c r="A21" s="3" t="inlineStr">
        <is>
          <t>4.2 管理岗位</t>
        </is>
      </c>
    </row>
    <row r="22">
      <c r="A22" s="4" t="inlineStr">
        <is>
          <t>有灵根成年子嗣</t>
        </is>
      </c>
      <c r="B22" s="23" t="n">
        <v>5</v>
      </c>
    </row>
    <row r="23">
      <c r="A23" s="4" t="inlineStr">
        <is>
          <t>无灵根成年子嗣</t>
        </is>
      </c>
      <c r="B23" s="23" t="n">
        <v>50</v>
      </c>
    </row>
    <row r="24">
      <c r="A24" s="4" t="inlineStr">
        <is>
          <t>门人</t>
        </is>
      </c>
      <c r="B24" s="23" t="n">
        <v>3</v>
      </c>
    </row>
    <row r="25">
      <c r="A25" s="17" t="inlineStr">
        <is>
          <t>岗位总数 = 10 + 有灵根×2 + 无灵根×0.5 + 门人×0.3</t>
        </is>
      </c>
      <c r="B25" s="24">
        <f>10+B22*2+B23*0.5+B24*0.3</f>
        <v/>
      </c>
    </row>
    <row r="27" ht="20" customHeight="1">
      <c r="A27" s="3" t="inlineStr">
        <is>
          <t>4.3 怀孕率（×0.6，2026-10-17 拍板）</t>
        </is>
      </c>
    </row>
    <row r="28">
      <c r="A28" s="4" t="inlineStr">
        <is>
          <t>位阶怀孕系数</t>
        </is>
      </c>
      <c r="B28" s="7" t="n">
        <v>1</v>
      </c>
      <c r="C28" s="6" t="inlineStr">
        <is>
          <t>P1~P6 = 1.0；P13 = 0.2</t>
        </is>
      </c>
    </row>
    <row r="29">
      <c r="A29" s="4" t="inlineStr">
        <is>
          <t>好感</t>
        </is>
      </c>
      <c r="B29" s="23" t="n">
        <v>60</v>
      </c>
      <c r="C29" s="6" t="inlineStr">
        <is>
          <t>0~100</t>
        </is>
      </c>
    </row>
    <row r="30">
      <c r="A30" s="17" t="inlineStr">
        <is>
          <t>基础值 10% × 系数</t>
        </is>
      </c>
      <c r="B30" s="26">
        <f>0.1*B28</f>
        <v/>
      </c>
    </row>
    <row r="31">
      <c r="A31" s="17" t="inlineStr">
        <is>
          <t>好感加成 min(好感×0.001, 10%)</t>
        </is>
      </c>
      <c r="B31" s="26">
        <f>MIN(B29*0.001,0.1)</f>
        <v/>
      </c>
    </row>
    <row r="32">
      <c r="A32" s="17" t="inlineStr">
        <is>
          <t>怀孕率（正向部分 ×0.6）</t>
        </is>
      </c>
      <c r="B32" s="26">
        <f>(B30+B31)*0.6</f>
        <v/>
      </c>
    </row>
    <row r="34" ht="28" customHeight="1">
      <c r="A34" s="6" t="inlineStr">
        <is>
          <t>助孕丹 +20%、自动模式 -5% 另算；本格只算正向部分 ×0.6（疲劳惩罚已于 2026-10-18 废除）。</t>
        </is>
      </c>
    </row>
    <row r="35" ht="28" customHeight="1">
      <c r="A35" s="6" t="inlineStr">
        <is>
          <t>P1-P13 位阶表与子嗣月钱见 md §5.2~§5.3；14 岗位见 §5.4。想算月饷总额，在 md 表里填人数即可。</t>
        </is>
      </c>
    </row>
  </sheetData>
  <mergeCells count="18">
    <mergeCell ref="C12:J12"/>
    <mergeCell ref="A27:Q27"/>
    <mergeCell ref="C29:J29"/>
    <mergeCell ref="C7:J7"/>
    <mergeCell ref="A21:Q21"/>
    <mergeCell ref="C15:J15"/>
    <mergeCell ref="A34:Q34"/>
    <mergeCell ref="C11:J11"/>
    <mergeCell ref="C6:J6"/>
    <mergeCell ref="A4:Q4"/>
    <mergeCell ref="A35:Q35"/>
    <mergeCell ref="A2:Q2"/>
    <mergeCell ref="C14:J14"/>
    <mergeCell ref="C28:J28"/>
    <mergeCell ref="C5:J5"/>
    <mergeCell ref="C13:J13"/>
    <mergeCell ref="A1:Q1"/>
    <mergeCell ref="C8:J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Sheet 5 · 三大系统产出（冲突检查）</t>
        </is>
      </c>
    </row>
    <row r="2">
      <c r="A2" s="2" t="inlineStr">
        <is>
          <t>只保留冲突检查。互补矩阵 / 镇守日产出 / 探索 EV / 秘境层表见 数值真值表.md §6.1~§6.4。</t>
        </is>
      </c>
    </row>
    <row r="4" ht="20" customHeight="1">
      <c r="A4" s="3" t="inlineStr">
        <is>
          <t>5.1 冲突检查</t>
        </is>
      </c>
    </row>
    <row r="5">
      <c r="A5" s="4" t="inlineStr">
        <is>
          <t>镇守每日修为（筑基初期）</t>
        </is>
      </c>
      <c r="B5" s="23" t="n">
        <v>224</v>
      </c>
      <c r="C5" s="6" t="inlineStr">
        <is>
          <t>md §6.2；填你当前想对比的境界值</t>
        </is>
      </c>
    </row>
    <row r="6">
      <c r="A6" s="4" t="inlineStr">
        <is>
          <t>探索每日修为（已拍板删除）</t>
        </is>
      </c>
      <c r="B6" s="23" t="n">
        <v>0</v>
      </c>
      <c r="C6" s="6" t="inlineStr">
        <is>
          <t>决策前凤凰谷 572；决策后 0</t>
        </is>
      </c>
    </row>
    <row r="7">
      <c r="A7" s="17" t="inlineStr">
        <is>
          <t>探索 / 镇守 倍数</t>
        </is>
      </c>
      <c r="B7" s="19">
        <f>B6/B5</f>
        <v/>
      </c>
    </row>
    <row r="8" ht="28" customHeight="1">
      <c r="A8" s="6" t="inlineStr">
        <is>
          <t>2026-10-17 拍板：删除探索修为。修为回归镇守唯一主源，冲突已消除。</t>
        </is>
      </c>
    </row>
    <row r="10">
      <c r="A10" s="4" t="inlineStr">
        <is>
          <t>秘境 30 层灵石/现实小时（÷3 后）</t>
        </is>
      </c>
      <c r="B10" s="16" t="n">
        <v>14550</v>
      </c>
      <c r="C10" s="6" t="inlineStr">
        <is>
          <t>1,940 / 8 分钟 × 60</t>
        </is>
      </c>
    </row>
    <row r="11">
      <c r="A11" s="4" t="inlineStr">
        <is>
          <t>探索 龙渊灵石/现实小时</t>
        </is>
      </c>
      <c r="B11" s="16" t="n">
        <v>23160</v>
      </c>
      <c r="C11" s="6" t="inlineStr">
        <is>
          <t>617.6 × 37.5</t>
        </is>
      </c>
    </row>
    <row r="12">
      <c r="A12" s="17" t="inlineStr">
        <is>
          <t>秘境 / 探索 倍数</t>
        </is>
      </c>
      <c r="B12" s="19">
        <f>B10/B11</f>
        <v/>
      </c>
    </row>
    <row r="13" ht="28" customHeight="1">
      <c r="A13" s="6" t="inlineStr">
        <is>
          <t>2026-10-17 拍板：秘境灵石 ÷3。现在探索是秘境的 1.6 倍，符合「探索给基础灵石」。</t>
        </is>
      </c>
    </row>
    <row r="15" ht="28" customHeight="1">
      <c r="A15" s="6" t="inlineStr">
        <is>
          <t>改完这三个比值，记得把结果回填《产出登记表》的变更记录（宪法第七章）。</t>
        </is>
      </c>
    </row>
  </sheetData>
  <mergeCells count="10">
    <mergeCell ref="A8:Q8"/>
    <mergeCell ref="C11:J11"/>
    <mergeCell ref="C6:J6"/>
    <mergeCell ref="A4:Q4"/>
    <mergeCell ref="C10:J10"/>
    <mergeCell ref="A2:Q2"/>
    <mergeCell ref="A15:Q15"/>
    <mergeCell ref="C5:J5"/>
    <mergeCell ref="A1:Q1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2026-10-18T14:33:10Z</dcterms:created>
  <dcterms:modified xsi:type="dcterms:W3CDTF">2026-10-18T15:24:22Z</dcterms:modified>
</cp:coreProperties>
</file>